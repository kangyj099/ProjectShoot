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BE523EAD-D810-4A5F-8C10-1CFCF9EBCD0F}" xr6:coauthVersionLast="47" xr6:coauthVersionMax="47" xr10:uidLastSave="{00000000-0000-0000-0000-000000000000}"/>
  <bookViews>
    <workbookView xWindow="-120" yWindow="-120" windowWidth="29040" windowHeight="15720" tabRatio="711" firstSheet="1" activeTab="3" xr2:uid="{F9E8F865-F741-4425-897D-555A2E4B3EBE}"/>
  </bookViews>
  <sheets>
    <sheet name="깃포크 공부" sheetId="11" state="hidden" r:id="rId1"/>
    <sheet name="player" sheetId="3" r:id="rId2"/>
    <sheet name="enemy" sheetId="6" r:id="rId3"/>
    <sheet name="Formation" sheetId="16" r:id="rId4"/>
    <sheet name="Move_Pattern" sheetId="17" r:id="rId5"/>
    <sheet name="생애주기" sheetId="13" r:id="rId6"/>
    <sheet name="카메라 " sheetId="15" r:id="rId7"/>
    <sheet name="개발요청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16" l="1"/>
  <c r="D41" i="16"/>
  <c r="D42" i="16"/>
  <c r="D39" i="16"/>
  <c r="C28" i="16"/>
  <c r="C29" i="16"/>
  <c r="C30" i="16"/>
  <c r="C31" i="16"/>
  <c r="C27" i="16"/>
  <c r="B17" i="6"/>
  <c r="B17" i="3"/>
  <c r="B12" i="3"/>
  <c r="B27" i="6"/>
  <c r="B25" i="6"/>
  <c r="B26" i="6"/>
  <c r="B19" i="6"/>
  <c r="B24" i="6"/>
  <c r="B23" i="6"/>
  <c r="B18" i="6"/>
  <c r="B16" i="6"/>
  <c r="B15" i="6"/>
  <c r="B14" i="6"/>
  <c r="B26" i="3"/>
  <c r="B11" i="3"/>
  <c r="B24" i="3"/>
  <c r="B25" i="3"/>
  <c r="B22" i="3"/>
  <c r="B23" i="3"/>
  <c r="B21" i="3"/>
  <c r="B10" i="3"/>
  <c r="B16" i="3"/>
  <c r="B38" i="3"/>
  <c r="B34" i="3"/>
  <c r="B35" i="3"/>
  <c r="B36" i="3"/>
  <c r="B37" i="3"/>
  <c r="B33" i="3"/>
  <c r="B31" i="3"/>
  <c r="B32" i="3"/>
  <c r="B30" i="3"/>
  <c r="B9" i="3"/>
  <c r="B6" i="3"/>
  <c r="B7" i="3"/>
  <c r="B8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38" authorId="0" shapeId="0" xr:uid="{6849FD8E-1256-4229-AD4B-FBC70E2BDB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스폰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멈춤
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간의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간격은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유지되어야함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<sst xmlns="http://schemas.openxmlformats.org/spreadsheetml/2006/main" count="429" uniqueCount="332">
  <si>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</si>
  <si>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</si>
  <si>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</si>
  <si>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</si>
  <si>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</si>
  <si>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</si>
  <si>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</si>
  <si>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</si>
  <si>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</si>
  <si>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</si>
  <si>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</si>
  <si>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</si>
  <si>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</si>
  <si>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</si>
  <si>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</si>
  <si>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</si>
  <si>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</si>
  <si>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</si>
  <si>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</si>
  <si>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</si>
  <si>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</si>
  <si>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</si>
  <si>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</si>
  <si>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</si>
  <si>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</si>
  <si>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</si>
  <si>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</si>
  <si>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</si>
  <si>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</si>
  <si>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</si>
  <si>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</si>
  <si>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</si>
  <si>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</si>
  <si>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</si>
  <si>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</si>
  <si>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</si>
  <si>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</si>
  <si>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</si>
  <si>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</si>
  <si>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</si>
  <si>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</si>
  <si>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</si>
  <si>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</si>
  <si>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</si>
  <si>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</si>
  <si>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</si>
  <si>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</si>
  <si>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</si>
  <si>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</si>
  <si>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</si>
  <si>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</si>
  <si>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</si>
  <si>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</si>
  <si>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</si>
  <si>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</si>
  <si>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</si>
  <si>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</si>
  <si>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</si>
  <si>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</si>
  <si>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</si>
  <si>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</si>
  <si>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</si>
  <si>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</si>
  <si>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</si>
  <si>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</si>
  <si>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</si>
  <si>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</si>
  <si>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</si>
  <si>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</si>
  <si>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탄 피격 효과 </t>
    <phoneticPr fontId="1" type="noConversion"/>
  </si>
  <si>
    <t xml:space="preserve">ugui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</si>
  <si>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</si>
  <si>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</si>
  <si>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</si>
  <si>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</si>
  <si>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</si>
  <si>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</si>
  <si>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</si>
  <si>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</si>
  <si>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</si>
  <si>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</si>
  <si>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</si>
  <si>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</si>
  <si>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</si>
  <si>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</si>
  <si>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</si>
  <si>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</si>
  <si>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</si>
  <si>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</si>
  <si>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</si>
  <si>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</si>
  <si>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</si>
  <si>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</si>
  <si>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</si>
  <si>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</si>
  <si>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</si>
  <si>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</si>
  <si>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</si>
  <si>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</si>
  <si>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</si>
  <si>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</si>
  <si>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</si>
  <si>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</si>
  <si>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</si>
  <si>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</si>
  <si>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</si>
  <si>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</si>
  <si>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</si>
  <si>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</si>
  <si>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</si>
  <si>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</si>
  <si>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</si>
  <si>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</si>
  <si>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</si>
  <si>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</si>
  <si>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</si>
  <si>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</si>
  <si>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</si>
  <si>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</si>
  <si>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</si>
  <si>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</si>
  <si>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</si>
  <si>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</si>
  <si>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</si>
  <si>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</si>
  <si>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</si>
  <si>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</si>
  <si>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</si>
  <si>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</si>
  <si>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</si>
  <si>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</si>
  <si>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</si>
  <si>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</si>
  <si>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</si>
  <si>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</si>
  <si>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</si>
  <si>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</si>
  <si>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</si>
  <si>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</si>
  <si>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</si>
  <si>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</si>
  <si>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</si>
  <si>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</si>
  <si>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</si>
  <si>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</si>
  <si>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</si>
  <si>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</si>
  <si>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</si>
  <si>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</si>
  <si>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</si>
  <si>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</si>
  <si>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</si>
  <si>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</si>
  <si>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</si>
  <si>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</si>
  <si>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</si>
  <si>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</si>
  <si>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</si>
  <si>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</si>
  <si>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</si>
  <si>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</si>
  <si>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</si>
  <si>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</si>
  <si>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</si>
  <si>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</si>
  <si>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</si>
  <si>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</si>
  <si>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</si>
  <si>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</si>
  <si>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</si>
  <si>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</si>
  <si>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</si>
  <si>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</si>
  <si>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</si>
  <si>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</si>
  <si>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</si>
  <si>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</si>
  <si>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</si>
  <si>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</si>
  <si>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</si>
  <si>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</si>
  <si>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</si>
  <si>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</si>
  <si>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</si>
  <si>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</si>
  <si>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</si>
  <si>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</si>
  <si>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</si>
  <si>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</si>
  <si>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</si>
  <si>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</si>
  <si>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</si>
  <si>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</si>
  <si>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</si>
  <si>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</si>
  <si>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</si>
  <si>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</si>
  <si>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</si>
  <si>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</si>
  <si>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</si>
  <si>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</si>
  <si>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</si>
  <si>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</si>
  <si>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</si>
  <si>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</si>
  <si>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</si>
  <si>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</si>
  <si>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</si>
  <si>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</si>
  <si>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</si>
  <si>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</si>
  <si>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</si>
  <si>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</si>
  <si>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</si>
  <si>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</si>
  <si>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</si>
  <si>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</si>
  <si>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</si>
  <si>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</si>
  <si>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</si>
  <si>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</si>
  <si>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</si>
  <si>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</si>
  <si>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</si>
  <si>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</si>
  <si>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</si>
  <si>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</si>
  <si>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</si>
  <si>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</si>
  <si>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</si>
  <si>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>적 더미 ( 2번 까지 )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</si>
  <si>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</si>
  <si>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</si>
  <si>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</si>
  <si>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</si>
  <si>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</si>
  <si>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</si>
  <si>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</si>
  <si>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</si>
  <si>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</si>
  <si>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</si>
  <si>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</si>
  <si>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</si>
  <si>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</si>
  <si>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</si>
  <si>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</si>
  <si>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</si>
  <si>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</si>
  <si>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</si>
  <si>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</si>
  <si>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</si>
  <si>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</si>
  <si>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</si>
  <si>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</si>
  <si>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</si>
  <si>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</si>
  <si>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 xml:space="preserve">1개 (일단 고정, 늘어나지 않을 예정) </t>
    <phoneticPr fontId="1" type="noConversion"/>
  </si>
  <si>
    <t>정의</t>
    <phoneticPr fontId="1" type="noConversion"/>
  </si>
  <si>
    <t xml:space="preserve">몬스터가 배치되는 형태 </t>
    <phoneticPr fontId="1" type="noConversion"/>
  </si>
  <si>
    <t>포매이션 형태</t>
    <phoneticPr fontId="1" type="noConversion"/>
  </si>
  <si>
    <t>Formation(적 진형)</t>
    <phoneticPr fontId="1" type="noConversion"/>
  </si>
  <si>
    <t>Shape_V</t>
    <phoneticPr fontId="1" type="noConversion"/>
  </si>
  <si>
    <t>Line_H</t>
    <phoneticPr fontId="1" type="noConversion"/>
  </si>
  <si>
    <t>Line_V</t>
    <phoneticPr fontId="1" type="noConversion"/>
  </si>
  <si>
    <t>Shape_A</t>
    <phoneticPr fontId="1" type="noConversion"/>
  </si>
  <si>
    <t>None</t>
    <phoneticPr fontId="1" type="noConversion"/>
  </si>
  <si>
    <t xml:space="preserve">정책 </t>
    <phoneticPr fontId="1" type="noConversion"/>
  </si>
  <si>
    <t>본 문서에서는 이하 '진형'으로 표현</t>
    <phoneticPr fontId="1" type="noConversion"/>
  </si>
  <si>
    <t xml:space="preserve">2종 이하의 적으로 구성 </t>
    <phoneticPr fontId="1" type="noConversion"/>
  </si>
  <si>
    <t xml:space="preserve">기획 의도 </t>
    <phoneticPr fontId="1" type="noConversion"/>
  </si>
  <si>
    <t xml:space="preserve">대장기 와 호위기로 구성 </t>
    <phoneticPr fontId="1" type="noConversion"/>
  </si>
  <si>
    <t xml:space="preserve">적 유닛들이 단독이 아닌 일정한 형태를 지어 등장, 유저에게 시작적 즐거움과 전략의 즐거움을 제공 </t>
    <phoneticPr fontId="1" type="noConversion"/>
  </si>
  <si>
    <t>ㄴ 호위기: 진형에서 대장을 제외한 모든 유닛</t>
    <phoneticPr fontId="1" type="noConversion"/>
  </si>
  <si>
    <t>설명</t>
    <phoneticPr fontId="1" type="noConversion"/>
  </si>
  <si>
    <t>별도의 진형 없음</t>
    <phoneticPr fontId="1" type="noConversion"/>
  </si>
  <si>
    <t xml:space="preserve">진형 당 최대 배치 유닛 수는 7기 </t>
    <phoneticPr fontId="1" type="noConversion"/>
  </si>
  <si>
    <r>
      <t>ㄴ ( 호위호위호위</t>
    </r>
    <r>
      <rPr>
        <b/>
        <sz val="11"/>
        <color theme="1"/>
        <rFont val="맑은 고딕"/>
        <family val="3"/>
        <charset val="129"/>
        <scheme val="minor"/>
      </rPr>
      <t>대장</t>
    </r>
    <r>
      <rPr>
        <sz val="11"/>
        <color theme="1"/>
        <rFont val="맑은 고딕"/>
        <family val="3"/>
        <charset val="129"/>
        <scheme val="minor"/>
      </rPr>
      <t xml:space="preserve">호위호위호위) </t>
    </r>
    <phoneticPr fontId="1" type="noConversion"/>
  </si>
  <si>
    <t>가로 일렬 대형 (horizontal)</t>
    <phoneticPr fontId="1" type="noConversion"/>
  </si>
  <si>
    <t>세로 일렬 대형 (vertical)</t>
    <phoneticPr fontId="1" type="noConversion"/>
  </si>
  <si>
    <t>시옷모양 대형. 편의상 A로 표기</t>
    <phoneticPr fontId="1" type="noConversion"/>
  </si>
  <si>
    <t>v모양 대형. (예시: 앞에 탱커 뒤에 딜러)</t>
    <phoneticPr fontId="1" type="noConversion"/>
  </si>
  <si>
    <t>진형 종류</t>
    <phoneticPr fontId="1" type="noConversion"/>
  </si>
  <si>
    <t xml:space="preserve">SO(스크립터블 오브젝트 구조) </t>
    <phoneticPr fontId="1" type="noConversion"/>
  </si>
  <si>
    <t>스폰 타임라인 데이터에 같이 들어감</t>
    <phoneticPr fontId="1" type="noConversion"/>
  </si>
  <si>
    <t>생성되는 시간 (초)</t>
    <phoneticPr fontId="1" type="noConversion"/>
  </si>
  <si>
    <t xml:space="preserve">적 id </t>
    <phoneticPr fontId="1" type="noConversion"/>
  </si>
  <si>
    <t>개체 수</t>
    <phoneticPr fontId="1" type="noConversion"/>
  </si>
  <si>
    <t>진형</t>
    <phoneticPr fontId="1" type="noConversion"/>
  </si>
  <si>
    <t>진형 간격 x</t>
    <phoneticPr fontId="1" type="noConversion"/>
  </si>
  <si>
    <t>진형 간격 y</t>
    <phoneticPr fontId="1" type="noConversion"/>
  </si>
  <si>
    <t>행동 패턴</t>
    <phoneticPr fontId="1" type="noConversion"/>
  </si>
  <si>
    <t>Spawn_Id</t>
    <phoneticPr fontId="1" type="noConversion"/>
  </si>
  <si>
    <t xml:space="preserve">Time_Stamp </t>
    <phoneticPr fontId="1" type="noConversion"/>
  </si>
  <si>
    <t>SpwanZone_Id</t>
    <phoneticPr fontId="1" type="noConversion"/>
  </si>
  <si>
    <t>Count</t>
    <phoneticPr fontId="1" type="noConversion"/>
  </si>
  <si>
    <t>Formation_Id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</si>
  <si>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</si>
  <si>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</si>
  <si>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Move_Pattern_ID</t>
    <phoneticPr fontId="1" type="noConversion"/>
  </si>
  <si>
    <t>하나,두식이</t>
    <phoneticPr fontId="1" type="noConversion"/>
  </si>
  <si>
    <t>shape_v</t>
    <phoneticPr fontId="1" type="noConversion"/>
  </si>
  <si>
    <t>스폰 구역</t>
    <phoneticPr fontId="1" type="noConversion"/>
  </si>
  <si>
    <t>int</t>
    <phoneticPr fontId="1" type="noConversion"/>
  </si>
  <si>
    <t>float</t>
    <phoneticPr fontId="1" type="noConversion"/>
  </si>
  <si>
    <t>스폰 위치</t>
    <phoneticPr fontId="1" type="noConversion"/>
  </si>
  <si>
    <t>Bool</t>
    <phoneticPr fontId="1" type="noConversion"/>
  </si>
  <si>
    <t xml:space="preserve"> </t>
    <phoneticPr fontId="1" type="noConversion"/>
  </si>
  <si>
    <t>Is_Random</t>
    <phoneticPr fontId="1" type="noConversion"/>
  </si>
  <si>
    <t>Enum</t>
    <phoneticPr fontId="1" type="noConversion"/>
  </si>
  <si>
    <t>스폰 Id</t>
    <phoneticPr fontId="1" type="noConversion"/>
  </si>
  <si>
    <t xml:space="preserve">스폰 고유 번호 </t>
  </si>
  <si>
    <t>Spawn_ID (int)</t>
    <phoneticPr fontId="1" type="noConversion"/>
  </si>
  <si>
    <t>Time_Stamp (float)</t>
    <phoneticPr fontId="1" type="noConversion"/>
  </si>
  <si>
    <t xml:space="preserve">게임 시작 후 스폰될 타이밍 (초 단위) </t>
    <phoneticPr fontId="1" type="noConversion"/>
  </si>
  <si>
    <t xml:space="preserve">Main_Enemy , Sub_Enemy </t>
    <phoneticPr fontId="1" type="noConversion"/>
  </si>
  <si>
    <t>대장칸, 부하칸에 기획자가 드래그</t>
    <phoneticPr fontId="1" type="noConversion"/>
  </si>
  <si>
    <t>Spawn_Zone (Link / Object)</t>
    <phoneticPr fontId="1" type="noConversion"/>
  </si>
  <si>
    <t>스폰 영역 박스 오브젝트를 기획자가 링크</t>
    <phoneticPr fontId="1" type="noConversion"/>
  </si>
  <si>
    <t>Is_Random (Bool / 체크박스)</t>
    <phoneticPr fontId="1" type="noConversion"/>
  </si>
  <si>
    <t>체크하면 영역 내 랜덤 배치, 체크를 해제하면 영역의 정중앙에 배치</t>
    <phoneticPr fontId="1" type="noConversion"/>
  </si>
  <si>
    <t>Count (int)</t>
    <phoneticPr fontId="1" type="noConversion"/>
  </si>
  <si>
    <t xml:space="preserve">소환할 마릿수 (최대 7마리) </t>
    <phoneticPr fontId="1" type="noConversion"/>
  </si>
  <si>
    <t>Formation_ID (Enum)</t>
    <phoneticPr fontId="1" type="noConversion"/>
  </si>
  <si>
    <t xml:space="preserve">진형 종류 중 하나 선택 </t>
    <phoneticPr fontId="1" type="noConversion"/>
  </si>
  <si>
    <t>Main_Enemy / Sub_Enemy (EnemyData_SO 링크)</t>
    <phoneticPr fontId="1" type="noConversion"/>
  </si>
  <si>
    <t>링크</t>
    <phoneticPr fontId="1" type="noConversion"/>
  </si>
  <si>
    <t>zone 1</t>
    <phoneticPr fontId="1" type="noConversion"/>
  </si>
  <si>
    <t>zone 2</t>
    <phoneticPr fontId="1" type="noConversion"/>
  </si>
  <si>
    <t>zone 3</t>
    <phoneticPr fontId="1" type="noConversion"/>
  </si>
  <si>
    <t xml:space="preserve">Spacing (float): 기체 간 격차 간격 </t>
    <phoneticPr fontId="1" type="noConversion"/>
  </si>
  <si>
    <t>ㄴ 대장기: 일반적으로 진형에서 가장 강한 유닛. 홀수의 경우 진형의 중앙에 위치</t>
    <phoneticPr fontId="1" type="noConversion"/>
  </si>
  <si>
    <t xml:space="preserve">배치 순서의 경우 다음과 같음 (노랑: 대장기 파랑:호위기)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</si>
</sst>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rgb="FF0066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</fills>
  <borders count="3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6" borderId="0" xfId="1" applyFont="1">
      <alignment vertical="center"/>
    </xf>
    <xf numFmtId="0" fontId="11" fillId="6" borderId="0" xfId="1" applyFont="1" applyAlignment="1">
      <alignment horizontal="left" vertical="center" indent="1"/>
    </xf>
    <xf numFmtId="0" fontId="12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1" fillId="4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0" fillId="7" borderId="0" xfId="0" applyFill="1" applyAlignment="1">
      <alignment horizontal="center" vertical="center"/>
    </xf>
    <xf numFmtId="0" fontId="14" fillId="0" borderId="0" xfId="0" applyFont="1">
      <alignment vertical="center"/>
    </xf>
    <xf numFmtId="0" fontId="0" fillId="4" borderId="16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0" xfId="0" applyFill="1" applyAlignment="1">
      <alignment horizontal="centerContinuous" vertical="center"/>
    </xf>
    <xf numFmtId="0" fontId="0" fillId="2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4" borderId="9" xfId="0" applyFill="1" applyBorder="1" applyAlignment="1">
      <alignment horizontal="centerContinuous" vertical="center"/>
    </xf>
    <xf numFmtId="0" fontId="0" fillId="4" borderId="16" xfId="0" applyFill="1" applyBorder="1" applyAlignment="1">
      <alignment horizontal="centerContinuous" vertical="center"/>
    </xf>
    <xf numFmtId="0" fontId="0" fillId="4" borderId="12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18" fillId="8" borderId="25" xfId="0" applyFont="1" applyFill="1" applyBorder="1" applyAlignment="1">
      <alignment horizontal="center" vertical="center"/>
    </xf>
    <xf numFmtId="0" fontId="18" fillId="8" borderId="26" xfId="0" applyFont="1" applyFill="1" applyBorder="1" applyAlignment="1">
      <alignment horizontal="center" vertical="center"/>
    </xf>
    <xf numFmtId="0" fontId="18" fillId="8" borderId="27" xfId="0" applyFont="1" applyFill="1" applyBorder="1" applyAlignment="1">
      <alignment horizontal="center" vertical="center"/>
    </xf>
    <xf numFmtId="0" fontId="18" fillId="8" borderId="28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29" xfId="0" applyFont="1" applyFill="1" applyBorder="1" applyAlignment="1">
      <alignment horizontal="center" vertical="center"/>
    </xf>
    <xf numFmtId="0" fontId="18" fillId="8" borderId="30" xfId="0" applyFont="1" applyFill="1" applyBorder="1" applyAlignment="1">
      <alignment horizontal="center" vertical="center"/>
    </xf>
    <xf numFmtId="0" fontId="18" fillId="8" borderId="31" xfId="0" applyFont="1" applyFill="1" applyBorder="1" applyAlignment="1">
      <alignment horizontal="center" vertical="center"/>
    </xf>
    <xf numFmtId="0" fontId="18" fillId="8" borderId="32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177" fontId="0" fillId="0" borderId="0" xfId="0" applyNumberFormat="1" applyFill="1" applyBorder="1" applyAlignment="1">
      <alignment horizontal="centerContinuous" vertical="center"/>
    </xf>
    <xf numFmtId="0" fontId="0" fillId="0" borderId="0" xfId="0" applyBorder="1" applyAlignment="1">
      <alignment horizontal="centerContinuous" vertical="center"/>
    </xf>
    <xf numFmtId="0" fontId="0" fillId="0" borderId="0" xfId="0" applyFill="1" applyBorder="1" applyAlignment="1">
      <alignment horizontal="centerContinuous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Fill="1" applyBorder="1" applyAlignment="1">
      <alignment horizontal="centerContinuous" vertical="center"/>
    </xf>
    <xf numFmtId="0" fontId="0" fillId="0" borderId="24" xfId="0" applyBorder="1" applyAlignment="1">
      <alignment horizontal="centerContinuous" vertical="center"/>
    </xf>
    <xf numFmtId="0" fontId="0" fillId="0" borderId="24" xfId="0" applyBorder="1">
      <alignment vertical="center"/>
    </xf>
    <xf numFmtId="0" fontId="0" fillId="0" borderId="13" xfId="0" applyBorder="1">
      <alignment vertical="center"/>
    </xf>
    <xf numFmtId="177" fontId="0" fillId="0" borderId="24" xfId="0" applyNumberFormat="1" applyFill="1" applyBorder="1" applyAlignment="1">
      <alignment horizontal="centerContinuous" vertical="center"/>
    </xf>
    <xf numFmtId="0" fontId="19" fillId="4" borderId="16" xfId="0" applyFont="1" applyFill="1" applyBorder="1" applyAlignment="1">
      <alignment horizontal="centerContinuous" vertical="center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0066FF"/>
      <color rgb="FFFF66CC"/>
      <color rgb="FFB2B5BA"/>
      <color rgb="FFFF99CC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0</xdr:row>
      <xdr:rowOff>28573</xdr:rowOff>
    </xdr:from>
    <xdr:to>
      <xdr:col>3</xdr:col>
      <xdr:colOff>733425</xdr:colOff>
      <xdr:row>2</xdr:row>
      <xdr:rowOff>228599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1543050" y="28573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180975</xdr:colOff>
      <xdr:row>19</xdr:row>
      <xdr:rowOff>152400</xdr:rowOff>
    </xdr:from>
    <xdr:to>
      <xdr:col>19</xdr:col>
      <xdr:colOff>190500</xdr:colOff>
      <xdr:row>22</xdr:row>
      <xdr:rowOff>133350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6087725" y="4524375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552450</xdr:colOff>
      <xdr:row>30</xdr:row>
      <xdr:rowOff>28575</xdr:rowOff>
    </xdr:from>
    <xdr:to>
      <xdr:col>9</xdr:col>
      <xdr:colOff>400051</xdr:colOff>
      <xdr:row>55</xdr:row>
      <xdr:rowOff>114300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581650" y="68389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318052</xdr:colOff>
      <xdr:row>25</xdr:row>
      <xdr:rowOff>28161</xdr:rowOff>
    </xdr:from>
    <xdr:to>
      <xdr:col>24</xdr:col>
      <xdr:colOff>24847</xdr:colOff>
      <xdr:row>27</xdr:row>
      <xdr:rowOff>16565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9A543E9E-B357-68C8-51B1-61CF818DCD6C}"/>
            </a:ext>
          </a:extLst>
        </xdr:cNvPr>
        <xdr:cNvSpPr/>
      </xdr:nvSpPr>
      <xdr:spPr>
        <a:xfrm>
          <a:off x="14986552" y="4666422"/>
          <a:ext cx="1081708" cy="40253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생성영역</a:t>
          </a:r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4</xdr:col>
      <xdr:colOff>670892</xdr:colOff>
      <xdr:row>17</xdr:row>
      <xdr:rowOff>173935</xdr:rowOff>
    </xdr:from>
    <xdr:to>
      <xdr:col>5</xdr:col>
      <xdr:colOff>364436</xdr:colOff>
      <xdr:row>19</xdr:row>
      <xdr:rowOff>140804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89C76D5C-08FB-8D6B-B8EF-9FC7DE93C678}"/>
            </a:ext>
          </a:extLst>
        </xdr:cNvPr>
        <xdr:cNvSpPr/>
      </xdr:nvSpPr>
      <xdr:spPr>
        <a:xfrm>
          <a:off x="2178327" y="3776870"/>
          <a:ext cx="381000" cy="380999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4</xdr:col>
      <xdr:colOff>82827</xdr:colOff>
      <xdr:row>17</xdr:row>
      <xdr:rowOff>173935</xdr:rowOff>
    </xdr:from>
    <xdr:to>
      <xdr:col>4</xdr:col>
      <xdr:colOff>463827</xdr:colOff>
      <xdr:row>19</xdr:row>
      <xdr:rowOff>140804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FD753711-D943-F2F7-0480-3ADDADFF2280}"/>
            </a:ext>
          </a:extLst>
        </xdr:cNvPr>
        <xdr:cNvSpPr/>
      </xdr:nvSpPr>
      <xdr:spPr>
        <a:xfrm>
          <a:off x="1590262" y="3776870"/>
          <a:ext cx="381000" cy="380999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5</xdr:col>
      <xdr:colOff>621197</xdr:colOff>
      <xdr:row>17</xdr:row>
      <xdr:rowOff>173935</xdr:rowOff>
    </xdr:from>
    <xdr:to>
      <xdr:col>6</xdr:col>
      <xdr:colOff>314740</xdr:colOff>
      <xdr:row>19</xdr:row>
      <xdr:rowOff>140804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5EE6612B-E8F8-86A4-4C87-CAAF29B50274}"/>
            </a:ext>
          </a:extLst>
        </xdr:cNvPr>
        <xdr:cNvSpPr/>
      </xdr:nvSpPr>
      <xdr:spPr>
        <a:xfrm>
          <a:off x="2816088" y="3776870"/>
          <a:ext cx="381000" cy="380999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3</xdr:col>
      <xdr:colOff>99393</xdr:colOff>
      <xdr:row>17</xdr:row>
      <xdr:rowOff>173935</xdr:rowOff>
    </xdr:from>
    <xdr:to>
      <xdr:col>3</xdr:col>
      <xdr:colOff>480393</xdr:colOff>
      <xdr:row>19</xdr:row>
      <xdr:rowOff>140804</xdr:rowOff>
    </xdr:to>
    <xdr:sp macro="" textlink="">
      <xdr:nvSpPr>
        <xdr:cNvPr id="15" name="타원 14">
          <a:extLst>
            <a:ext uri="{FF2B5EF4-FFF2-40B4-BE49-F238E27FC236}">
              <a16:creationId xmlns:a16="http://schemas.microsoft.com/office/drawing/2014/main" id="{AFE6CB83-5768-697B-6544-0C62D362FB1A}"/>
            </a:ext>
          </a:extLst>
        </xdr:cNvPr>
        <xdr:cNvSpPr/>
      </xdr:nvSpPr>
      <xdr:spPr>
        <a:xfrm>
          <a:off x="919371" y="3776870"/>
          <a:ext cx="381000" cy="380999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6</xdr:col>
      <xdr:colOff>563220</xdr:colOff>
      <xdr:row>17</xdr:row>
      <xdr:rowOff>173934</xdr:rowOff>
    </xdr:from>
    <xdr:to>
      <xdr:col>7</xdr:col>
      <xdr:colOff>256764</xdr:colOff>
      <xdr:row>19</xdr:row>
      <xdr:rowOff>140803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D9ACB82F-5785-4549-AE72-CF121D3EEE9B}"/>
            </a:ext>
          </a:extLst>
        </xdr:cNvPr>
        <xdr:cNvSpPr/>
      </xdr:nvSpPr>
      <xdr:spPr>
        <a:xfrm>
          <a:off x="3445568" y="3776869"/>
          <a:ext cx="381000" cy="380999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 x14ac:dyDescent="0.3"/>
  <cols>
    <col min="1" max="3" width="4.625" customWidth="1"/>
  </cols>
  <sheetData>
    <row r="1" spans="1:16" ht="38.25" x14ac:dyDescent="0.3">
      <c r="A1" s="21" t="s">
        <v>74</v>
      </c>
    </row>
    <row r="3" spans="1:16" x14ac:dyDescent="0.3">
      <c r="A3">
        <v>1</v>
      </c>
      <c r="G3" t="s">
        <v>75</v>
      </c>
      <c r="O3" t="s">
        <v>78</v>
      </c>
      <c r="P3" t="s">
        <v>79</v>
      </c>
    </row>
    <row r="4" spans="1:16" x14ac:dyDescent="0.3">
      <c r="H4" t="s">
        <v>77</v>
      </c>
      <c r="P4" t="s">
        <v>80</v>
      </c>
    </row>
    <row r="5" spans="1:16" x14ac:dyDescent="0.3">
      <c r="P5" t="s">
        <v>81</v>
      </c>
    </row>
    <row r="28" spans="1:7" x14ac:dyDescent="0.3">
      <c r="A28">
        <v>2</v>
      </c>
      <c r="G28" t="s">
        <v>76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G38"/>
  <sheetViews>
    <sheetView workbookViewId="0">
      <selection activeCell="F22" sqref="F22"/>
    </sheetView>
  </sheetViews>
  <sheetFormatPr defaultRowHeight="16.5" x14ac:dyDescent="0.3"/>
  <cols>
    <col min="1" max="1" width="3.75" customWidth="1"/>
    <col min="2" max="2" width="5.375" customWidth="1"/>
    <col min="3" max="3" width="23" bestFit="1" customWidth="1"/>
    <col min="4" max="4" width="44.125" customWidth="1"/>
    <col min="5" max="5" width="13.75" style="11" bestFit="1" customWidth="1"/>
    <col min="6" max="6" width="64.375" bestFit="1" customWidth="1"/>
  </cols>
  <sheetData>
    <row r="1" spans="1:7" ht="26.25" x14ac:dyDescent="0.3">
      <c r="A1" s="47" t="s">
        <v>210</v>
      </c>
    </row>
    <row r="3" spans="1:7" x14ac:dyDescent="0.3">
      <c r="B3" s="8" t="s">
        <v>211</v>
      </c>
    </row>
    <row r="4" spans="1:7" x14ac:dyDescent="0.3">
      <c r="B4" s="10" t="s">
        <v>7</v>
      </c>
      <c r="C4" s="10" t="s">
        <v>9</v>
      </c>
      <c r="D4" s="10" t="s">
        <v>0</v>
      </c>
      <c r="E4" s="10" t="s">
        <v>10</v>
      </c>
      <c r="F4" s="10" t="s">
        <v>1</v>
      </c>
      <c r="G4" s="11"/>
    </row>
    <row r="5" spans="1:7" x14ac:dyDescent="0.3">
      <c r="B5" s="11">
        <f t="shared" ref="B5:B12" si="0">ROW()-ROW($B$4)</f>
        <v>1</v>
      </c>
      <c r="C5" t="s">
        <v>8</v>
      </c>
      <c r="D5" t="s">
        <v>3</v>
      </c>
      <c r="E5" s="11" t="s">
        <v>29</v>
      </c>
      <c r="F5" t="s">
        <v>36</v>
      </c>
    </row>
    <row r="6" spans="1:7" x14ac:dyDescent="0.3">
      <c r="B6" s="11">
        <f t="shared" si="0"/>
        <v>2</v>
      </c>
      <c r="C6" t="s">
        <v>13</v>
      </c>
      <c r="D6" t="s">
        <v>2</v>
      </c>
      <c r="E6" s="13" t="s">
        <v>40</v>
      </c>
      <c r="F6" t="s">
        <v>30</v>
      </c>
    </row>
    <row r="7" spans="1:7" x14ac:dyDescent="0.3">
      <c r="B7" s="11">
        <f t="shared" si="0"/>
        <v>3</v>
      </c>
      <c r="C7" t="s">
        <v>4</v>
      </c>
      <c r="D7" t="s">
        <v>12</v>
      </c>
      <c r="E7" s="11" t="s">
        <v>14</v>
      </c>
      <c r="F7" t="s">
        <v>256</v>
      </c>
    </row>
    <row r="8" spans="1:7" x14ac:dyDescent="0.3">
      <c r="B8" s="11">
        <f t="shared" si="0"/>
        <v>4</v>
      </c>
      <c r="C8" t="s">
        <v>11</v>
      </c>
      <c r="D8" t="s">
        <v>5</v>
      </c>
      <c r="E8" s="13" t="s">
        <v>40</v>
      </c>
      <c r="F8" t="s">
        <v>20</v>
      </c>
    </row>
    <row r="9" spans="1:7" x14ac:dyDescent="0.3">
      <c r="B9" s="11">
        <f t="shared" si="0"/>
        <v>5</v>
      </c>
      <c r="C9" t="s">
        <v>18</v>
      </c>
      <c r="D9" t="s">
        <v>19</v>
      </c>
      <c r="E9" s="13" t="s">
        <v>40</v>
      </c>
      <c r="F9" t="s">
        <v>20</v>
      </c>
    </row>
    <row r="10" spans="1:7" x14ac:dyDescent="0.3">
      <c r="B10" s="11">
        <f t="shared" si="0"/>
        <v>6</v>
      </c>
      <c r="C10" t="s">
        <v>35</v>
      </c>
      <c r="D10" t="s">
        <v>37</v>
      </c>
      <c r="E10" s="13"/>
    </row>
    <row r="11" spans="1:7" x14ac:dyDescent="0.3">
      <c r="B11" s="11">
        <f t="shared" si="0"/>
        <v>7</v>
      </c>
      <c r="C11" t="s">
        <v>41</v>
      </c>
      <c r="D11" t="s">
        <v>42</v>
      </c>
      <c r="E11" s="13" t="s">
        <v>40</v>
      </c>
      <c r="F11" t="s">
        <v>44</v>
      </c>
      <c r="G11" t="s">
        <v>43</v>
      </c>
    </row>
    <row r="12" spans="1:7" x14ac:dyDescent="0.3">
      <c r="B12" s="11">
        <f t="shared" si="0"/>
        <v>8</v>
      </c>
      <c r="E12" s="13"/>
    </row>
    <row r="13" spans="1:7" x14ac:dyDescent="0.3">
      <c r="B13" s="11"/>
      <c r="E13" s="13"/>
    </row>
    <row r="14" spans="1:7" x14ac:dyDescent="0.3">
      <c r="B14" s="8" t="s">
        <v>39</v>
      </c>
      <c r="E14" s="13"/>
    </row>
    <row r="15" spans="1:7" x14ac:dyDescent="0.3">
      <c r="B15" s="10" t="s">
        <v>7</v>
      </c>
      <c r="C15" s="10" t="s">
        <v>9</v>
      </c>
      <c r="D15" s="10" t="s">
        <v>0</v>
      </c>
      <c r="E15" s="13"/>
    </row>
    <row r="16" spans="1:7" x14ac:dyDescent="0.3">
      <c r="B16" s="11">
        <f>ROW()-ROW($B$15)</f>
        <v>1</v>
      </c>
      <c r="C16" t="s">
        <v>34</v>
      </c>
      <c r="D16" t="s">
        <v>38</v>
      </c>
      <c r="E16" s="13" t="s">
        <v>40</v>
      </c>
    </row>
    <row r="17" spans="2:7" x14ac:dyDescent="0.3">
      <c r="B17" s="11">
        <f>ROW()-ROW($B$15)</f>
        <v>2</v>
      </c>
      <c r="C17" t="s">
        <v>72</v>
      </c>
      <c r="E17" s="13"/>
    </row>
    <row r="18" spans="2:7" x14ac:dyDescent="0.3">
      <c r="E18" s="13"/>
    </row>
    <row r="19" spans="2:7" x14ac:dyDescent="0.3">
      <c r="B19" s="8" t="s">
        <v>45</v>
      </c>
      <c r="E19" s="13"/>
    </row>
    <row r="20" spans="2:7" x14ac:dyDescent="0.3">
      <c r="B20" s="10" t="s">
        <v>7</v>
      </c>
      <c r="C20" s="10" t="s">
        <v>9</v>
      </c>
      <c r="D20" s="10" t="s">
        <v>0</v>
      </c>
      <c r="E20" s="10" t="s">
        <v>10</v>
      </c>
      <c r="F20" s="10" t="s">
        <v>1</v>
      </c>
    </row>
    <row r="21" spans="2:7" x14ac:dyDescent="0.3">
      <c r="B21" s="11">
        <f>ROW()-ROW($B$20)</f>
        <v>1</v>
      </c>
      <c r="C21" t="s">
        <v>8</v>
      </c>
      <c r="D21" t="s">
        <v>3</v>
      </c>
      <c r="E21" s="11" t="s">
        <v>29</v>
      </c>
      <c r="F21" t="s">
        <v>36</v>
      </c>
    </row>
    <row r="22" spans="2:7" x14ac:dyDescent="0.3">
      <c r="B22" s="11">
        <f t="shared" ref="B22:B26" si="1">ROW()-ROW($B$20)</f>
        <v>2</v>
      </c>
      <c r="C22" t="s">
        <v>13</v>
      </c>
      <c r="D22" t="s">
        <v>2</v>
      </c>
      <c r="E22" s="13" t="s">
        <v>40</v>
      </c>
      <c r="F22" t="s">
        <v>30</v>
      </c>
    </row>
    <row r="23" spans="2:7" x14ac:dyDescent="0.3">
      <c r="B23" s="11">
        <f t="shared" si="1"/>
        <v>3</v>
      </c>
      <c r="C23" t="s">
        <v>11</v>
      </c>
      <c r="D23" t="s">
        <v>5</v>
      </c>
      <c r="E23" s="13" t="s">
        <v>40</v>
      </c>
      <c r="F23" t="s">
        <v>20</v>
      </c>
    </row>
    <row r="24" spans="2:7" x14ac:dyDescent="0.3">
      <c r="B24" s="11">
        <f t="shared" si="1"/>
        <v>4</v>
      </c>
      <c r="C24" t="s">
        <v>18</v>
      </c>
      <c r="D24" t="s">
        <v>19</v>
      </c>
      <c r="E24" s="13" t="s">
        <v>40</v>
      </c>
      <c r="F24" t="s">
        <v>20</v>
      </c>
    </row>
    <row r="25" spans="2:7" x14ac:dyDescent="0.3">
      <c r="B25" s="11">
        <f t="shared" si="1"/>
        <v>5</v>
      </c>
      <c r="C25" t="s">
        <v>35</v>
      </c>
      <c r="D25" t="s">
        <v>37</v>
      </c>
      <c r="E25" s="13"/>
    </row>
    <row r="26" spans="2:7" x14ac:dyDescent="0.3">
      <c r="B26" s="11">
        <f t="shared" si="1"/>
        <v>6</v>
      </c>
      <c r="C26" t="s">
        <v>41</v>
      </c>
      <c r="D26" t="s">
        <v>42</v>
      </c>
      <c r="E26" s="13" t="s">
        <v>40</v>
      </c>
      <c r="F26" t="s">
        <v>44</v>
      </c>
      <c r="G26" t="s">
        <v>43</v>
      </c>
    </row>
    <row r="28" spans="2:7" x14ac:dyDescent="0.3">
      <c r="B28" s="8" t="s">
        <v>17</v>
      </c>
    </row>
    <row r="29" spans="2:7" x14ac:dyDescent="0.3">
      <c r="B29" s="10" t="s">
        <v>7</v>
      </c>
      <c r="C29" s="10" t="s">
        <v>9</v>
      </c>
      <c r="D29" s="10" t="s">
        <v>0</v>
      </c>
      <c r="E29" s="10" t="s">
        <v>10</v>
      </c>
      <c r="F29" s="10" t="s">
        <v>1</v>
      </c>
      <c r="G29" s="11"/>
    </row>
    <row r="30" spans="2:7" x14ac:dyDescent="0.3">
      <c r="B30" s="11">
        <f t="shared" ref="B30:B38" si="2">ROW()-ROW($B$29)</f>
        <v>1</v>
      </c>
      <c r="C30" t="s">
        <v>21</v>
      </c>
      <c r="D30" t="s">
        <v>3</v>
      </c>
      <c r="F30" t="s">
        <v>15</v>
      </c>
    </row>
    <row r="31" spans="2:7" x14ac:dyDescent="0.3">
      <c r="B31" s="11">
        <f t="shared" si="2"/>
        <v>2</v>
      </c>
      <c r="C31" t="s">
        <v>22</v>
      </c>
      <c r="D31" t="s">
        <v>2</v>
      </c>
      <c r="F31" t="s">
        <v>16</v>
      </c>
    </row>
    <row r="32" spans="2:7" x14ac:dyDescent="0.3">
      <c r="B32" s="11">
        <f t="shared" si="2"/>
        <v>3</v>
      </c>
      <c r="C32" t="s">
        <v>23</v>
      </c>
      <c r="D32" t="s">
        <v>5</v>
      </c>
      <c r="F32" t="s">
        <v>6</v>
      </c>
    </row>
    <row r="33" spans="2:6" x14ac:dyDescent="0.3">
      <c r="B33" s="11">
        <f t="shared" si="2"/>
        <v>4</v>
      </c>
      <c r="C33" t="s">
        <v>18</v>
      </c>
      <c r="D33" t="s">
        <v>19</v>
      </c>
      <c r="F33" t="s">
        <v>20</v>
      </c>
    </row>
    <row r="34" spans="2:6" x14ac:dyDescent="0.3">
      <c r="B34" s="11">
        <f t="shared" si="2"/>
        <v>5</v>
      </c>
      <c r="C34" t="s">
        <v>24</v>
      </c>
      <c r="D34" t="s">
        <v>25</v>
      </c>
    </row>
    <row r="35" spans="2:6" x14ac:dyDescent="0.3">
      <c r="B35" s="11">
        <f t="shared" si="2"/>
        <v>6</v>
      </c>
      <c r="C35" t="s">
        <v>26</v>
      </c>
    </row>
    <row r="36" spans="2:6" x14ac:dyDescent="0.3">
      <c r="B36" s="11">
        <f t="shared" si="2"/>
        <v>7</v>
      </c>
      <c r="C36" t="s">
        <v>27</v>
      </c>
    </row>
    <row r="37" spans="2:6" x14ac:dyDescent="0.3">
      <c r="B37" s="11">
        <f t="shared" si="2"/>
        <v>8</v>
      </c>
      <c r="C37" t="s">
        <v>28</v>
      </c>
      <c r="E37" s="11" t="s">
        <v>14</v>
      </c>
      <c r="F37" t="s">
        <v>31</v>
      </c>
    </row>
    <row r="38" spans="2:6" x14ac:dyDescent="0.3">
      <c r="B38" s="11">
        <f t="shared" si="2"/>
        <v>9</v>
      </c>
      <c r="C38" t="s">
        <v>32</v>
      </c>
      <c r="D38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A1:U35"/>
  <sheetViews>
    <sheetView workbookViewId="0">
      <selection activeCell="D23" sqref="D23"/>
    </sheetView>
  </sheetViews>
  <sheetFormatPr defaultRowHeight="16.5" x14ac:dyDescent="0.3"/>
  <cols>
    <col min="1" max="1" width="3.625" customWidth="1"/>
    <col min="2" max="2" width="6.75" customWidth="1"/>
    <col min="3" max="3" width="16.5" customWidth="1"/>
    <col min="4" max="4" width="39.125" customWidth="1"/>
    <col min="5" max="5" width="15.375" customWidth="1"/>
    <col min="16" max="16" width="4.5" customWidth="1"/>
  </cols>
  <sheetData>
    <row r="1" spans="1:21" ht="26.25" x14ac:dyDescent="0.3">
      <c r="A1" s="47" t="s">
        <v>46</v>
      </c>
      <c r="E1" s="12"/>
    </row>
    <row r="2" spans="1:21" ht="27" thickBot="1" x14ac:dyDescent="0.35">
      <c r="D2" s="9"/>
      <c r="E2" s="12"/>
      <c r="K2" t="s">
        <v>55</v>
      </c>
      <c r="Q2" t="s">
        <v>56</v>
      </c>
    </row>
    <row r="3" spans="1:21" ht="27" thickBot="1" x14ac:dyDescent="0.35">
      <c r="D3" s="9"/>
      <c r="E3" s="12"/>
      <c r="K3" s="15">
        <v>1</v>
      </c>
      <c r="L3" s="1"/>
      <c r="M3" s="1"/>
      <c r="N3" s="1"/>
      <c r="O3" s="2"/>
      <c r="Q3" s="15">
        <v>2</v>
      </c>
      <c r="R3" s="1"/>
      <c r="S3" s="1"/>
      <c r="T3" s="1"/>
      <c r="U3" s="2"/>
    </row>
    <row r="4" spans="1:21" x14ac:dyDescent="0.3">
      <c r="K4" s="3"/>
      <c r="O4" s="4"/>
      <c r="Q4" s="3"/>
      <c r="U4" s="4"/>
    </row>
    <row r="5" spans="1:21" x14ac:dyDescent="0.3">
      <c r="B5" t="s">
        <v>47</v>
      </c>
      <c r="K5" s="3"/>
      <c r="O5" s="4"/>
      <c r="Q5" s="3"/>
      <c r="U5" s="4"/>
    </row>
    <row r="6" spans="1:21" x14ac:dyDescent="0.3">
      <c r="K6" s="3"/>
      <c r="O6" s="4"/>
      <c r="Q6" s="3"/>
      <c r="U6" s="4"/>
    </row>
    <row r="7" spans="1:21" x14ac:dyDescent="0.3">
      <c r="B7" s="14" t="s">
        <v>7</v>
      </c>
      <c r="C7" s="14" t="s">
        <v>49</v>
      </c>
      <c r="D7" s="16" t="s">
        <v>50</v>
      </c>
      <c r="E7" s="16" t="s">
        <v>51</v>
      </c>
      <c r="K7" s="3"/>
      <c r="O7" s="4"/>
      <c r="Q7" s="3"/>
      <c r="U7" s="4"/>
    </row>
    <row r="8" spans="1:21" x14ac:dyDescent="0.3">
      <c r="B8" s="11">
        <v>1</v>
      </c>
      <c r="C8" t="s">
        <v>52</v>
      </c>
      <c r="D8" t="s">
        <v>53</v>
      </c>
      <c r="K8" s="3"/>
      <c r="O8" s="4"/>
      <c r="Q8" s="3"/>
      <c r="U8" s="4"/>
    </row>
    <row r="9" spans="1:21" x14ac:dyDescent="0.3">
      <c r="B9" s="11">
        <v>2</v>
      </c>
      <c r="C9" t="s">
        <v>48</v>
      </c>
      <c r="D9" t="s">
        <v>54</v>
      </c>
      <c r="E9" s="17"/>
      <c r="K9" s="3"/>
      <c r="O9" s="4"/>
      <c r="Q9" s="3"/>
      <c r="U9" s="4"/>
    </row>
    <row r="10" spans="1:21" x14ac:dyDescent="0.3">
      <c r="K10" s="3"/>
      <c r="O10" s="4"/>
      <c r="Q10" s="3"/>
      <c r="U10" s="4"/>
    </row>
    <row r="11" spans="1:21" x14ac:dyDescent="0.3">
      <c r="K11" s="3"/>
      <c r="O11" s="4"/>
      <c r="Q11" s="3"/>
      <c r="U11" s="4"/>
    </row>
    <row r="12" spans="1:21" x14ac:dyDescent="0.3">
      <c r="B12" s="8" t="s">
        <v>57</v>
      </c>
      <c r="E12" s="11"/>
      <c r="K12" s="3"/>
      <c r="O12" s="4"/>
      <c r="Q12" s="3"/>
      <c r="U12" s="4"/>
    </row>
    <row r="13" spans="1:21" x14ac:dyDescent="0.3">
      <c r="B13" s="10" t="s">
        <v>7</v>
      </c>
      <c r="C13" s="10" t="s">
        <v>9</v>
      </c>
      <c r="D13" s="10" t="s">
        <v>0</v>
      </c>
      <c r="E13" s="10" t="s">
        <v>10</v>
      </c>
      <c r="F13" s="10" t="s">
        <v>1</v>
      </c>
      <c r="K13" s="3"/>
      <c r="O13" s="4"/>
      <c r="Q13" s="3"/>
      <c r="U13" s="4"/>
    </row>
    <row r="14" spans="1:21" x14ac:dyDescent="0.3">
      <c r="B14" s="11">
        <f t="shared" ref="B14:B19" si="0">ROW()-ROW($B$13)</f>
        <v>1</v>
      </c>
      <c r="C14" t="s">
        <v>8</v>
      </c>
      <c r="D14" t="s">
        <v>3</v>
      </c>
      <c r="F14" t="s">
        <v>36</v>
      </c>
      <c r="K14" s="3"/>
      <c r="O14" s="4"/>
      <c r="Q14" s="3"/>
      <c r="U14" s="4"/>
    </row>
    <row r="15" spans="1:21" x14ac:dyDescent="0.3">
      <c r="B15" s="11">
        <f t="shared" si="0"/>
        <v>2</v>
      </c>
      <c r="C15" t="s">
        <v>13</v>
      </c>
      <c r="D15" t="s">
        <v>2</v>
      </c>
      <c r="E15" s="13" t="s">
        <v>40</v>
      </c>
      <c r="K15" s="3"/>
      <c r="O15" s="4"/>
      <c r="Q15" s="3"/>
      <c r="U15" s="4"/>
    </row>
    <row r="16" spans="1:21" x14ac:dyDescent="0.3">
      <c r="B16" s="11">
        <f t="shared" si="0"/>
        <v>3</v>
      </c>
      <c r="C16" t="s">
        <v>58</v>
      </c>
      <c r="D16" t="s">
        <v>59</v>
      </c>
      <c r="E16" s="13"/>
      <c r="F16" t="s">
        <v>66</v>
      </c>
      <c r="K16" s="3"/>
      <c r="O16" s="4"/>
      <c r="Q16" s="3"/>
      <c r="U16" s="4"/>
    </row>
    <row r="17" spans="2:21" x14ac:dyDescent="0.3">
      <c r="B17" s="11">
        <f t="shared" si="0"/>
        <v>4</v>
      </c>
      <c r="C17" t="s">
        <v>18</v>
      </c>
      <c r="D17" t="s">
        <v>216</v>
      </c>
      <c r="K17" s="3"/>
      <c r="O17" s="4"/>
      <c r="Q17" s="3"/>
      <c r="U17" s="4"/>
    </row>
    <row r="18" spans="2:21" x14ac:dyDescent="0.3">
      <c r="B18" s="11">
        <f t="shared" si="0"/>
        <v>5</v>
      </c>
      <c r="C18" t="s">
        <v>35</v>
      </c>
      <c r="D18" t="s">
        <v>37</v>
      </c>
      <c r="K18" s="3"/>
      <c r="O18" s="4"/>
      <c r="Q18" s="3"/>
      <c r="U18" s="4"/>
    </row>
    <row r="19" spans="2:21" x14ac:dyDescent="0.3">
      <c r="B19" s="57">
        <f t="shared" si="0"/>
        <v>6</v>
      </c>
      <c r="C19" s="58" t="s">
        <v>63</v>
      </c>
      <c r="D19" s="58"/>
      <c r="E19" s="57" t="s">
        <v>29</v>
      </c>
      <c r="F19" s="58"/>
      <c r="G19" s="58"/>
      <c r="K19" s="3"/>
      <c r="O19" s="4"/>
      <c r="Q19" s="3"/>
      <c r="U19" s="4"/>
    </row>
    <row r="20" spans="2:21" x14ac:dyDescent="0.3">
      <c r="K20" s="3"/>
      <c r="O20" s="4"/>
      <c r="Q20" s="3"/>
      <c r="U20" s="4"/>
    </row>
    <row r="21" spans="2:21" x14ac:dyDescent="0.3">
      <c r="B21" s="8" t="s">
        <v>67</v>
      </c>
      <c r="K21" s="3"/>
      <c r="O21" s="4"/>
      <c r="Q21" s="3"/>
      <c r="U21" s="4"/>
    </row>
    <row r="22" spans="2:21" x14ac:dyDescent="0.3">
      <c r="B22" s="10" t="s">
        <v>7</v>
      </c>
      <c r="C22" s="10" t="s">
        <v>9</v>
      </c>
      <c r="D22" s="10" t="s">
        <v>0</v>
      </c>
      <c r="E22" s="10" t="s">
        <v>10</v>
      </c>
      <c r="F22" s="10" t="s">
        <v>1</v>
      </c>
      <c r="K22" s="3"/>
      <c r="O22" s="4"/>
      <c r="Q22" s="3"/>
      <c r="U22" s="4"/>
    </row>
    <row r="23" spans="2:21" x14ac:dyDescent="0.3">
      <c r="B23" s="11">
        <f>ROW()-ROW($B$22)</f>
        <v>1</v>
      </c>
      <c r="C23" t="s">
        <v>68</v>
      </c>
      <c r="D23" t="s">
        <v>60</v>
      </c>
      <c r="F23" t="s">
        <v>64</v>
      </c>
      <c r="K23" s="3"/>
      <c r="O23" s="4"/>
      <c r="Q23" s="3"/>
      <c r="U23" s="4"/>
    </row>
    <row r="24" spans="2:21" x14ac:dyDescent="0.3">
      <c r="B24" s="11">
        <f>ROW()-ROW($B$22)</f>
        <v>2</v>
      </c>
      <c r="C24" t="s">
        <v>61</v>
      </c>
      <c r="F24" t="s">
        <v>65</v>
      </c>
      <c r="K24" s="3"/>
      <c r="O24" s="4"/>
      <c r="Q24" s="3"/>
      <c r="U24" s="4"/>
    </row>
    <row r="25" spans="2:21" x14ac:dyDescent="0.3">
      <c r="B25" s="11">
        <f t="shared" ref="B25:B27" si="1">ROW()-ROW($B$22)</f>
        <v>3</v>
      </c>
      <c r="C25" t="s">
        <v>62</v>
      </c>
      <c r="K25" s="3"/>
      <c r="O25" s="4"/>
      <c r="Q25" s="3"/>
      <c r="U25" s="4"/>
    </row>
    <row r="26" spans="2:21" x14ac:dyDescent="0.3">
      <c r="B26" s="11">
        <f t="shared" si="1"/>
        <v>4</v>
      </c>
      <c r="C26" t="s">
        <v>215</v>
      </c>
      <c r="K26" s="3"/>
      <c r="O26" s="4"/>
      <c r="Q26" s="3"/>
      <c r="U26" s="4"/>
    </row>
    <row r="27" spans="2:21" ht="17.25" thickBot="1" x14ac:dyDescent="0.35">
      <c r="B27" s="11">
        <f t="shared" si="1"/>
        <v>5</v>
      </c>
      <c r="C27" t="s">
        <v>69</v>
      </c>
      <c r="K27" s="5"/>
      <c r="L27" s="6"/>
      <c r="M27" s="6"/>
      <c r="N27" s="6"/>
      <c r="O27" s="7"/>
      <c r="Q27" s="5"/>
      <c r="R27" s="6"/>
      <c r="S27" s="6"/>
      <c r="T27" s="6"/>
      <c r="U27" s="7"/>
    </row>
    <row r="30" spans="2:21" ht="26.25" x14ac:dyDescent="0.3">
      <c r="B30" s="39" t="s">
        <v>231</v>
      </c>
    </row>
    <row r="31" spans="2:21" x14ac:dyDescent="0.3">
      <c r="B31" s="14" t="s">
        <v>7</v>
      </c>
    </row>
    <row r="32" spans="2:21" x14ac:dyDescent="0.3">
      <c r="B32" s="11">
        <v>1</v>
      </c>
      <c r="C32" t="s">
        <v>232</v>
      </c>
    </row>
    <row r="33" spans="2:3" x14ac:dyDescent="0.3">
      <c r="B33" s="11">
        <v>2</v>
      </c>
      <c r="C33" t="s">
        <v>251</v>
      </c>
    </row>
    <row r="34" spans="2:3" x14ac:dyDescent="0.3">
      <c r="B34" s="11">
        <v>3</v>
      </c>
      <c r="C34" t="s">
        <v>252</v>
      </c>
    </row>
    <row r="35" spans="2:3" x14ac:dyDescent="0.3">
      <c r="B35" s="11">
        <v>4</v>
      </c>
      <c r="C35" t="s">
        <v>253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9897-7B19-41C3-ACE9-893F9F9C4143}">
  <dimension ref="A1:P51"/>
  <sheetViews>
    <sheetView tabSelected="1" topLeftCell="A28" zoomScale="115" zoomScaleNormal="115" workbookViewId="0">
      <selection activeCell="S48" sqref="S48"/>
    </sheetView>
  </sheetViews>
  <sheetFormatPr defaultRowHeight="16.5" x14ac:dyDescent="0.3"/>
  <cols>
    <col min="1" max="1" width="2.875" customWidth="1"/>
    <col min="2" max="2" width="4.125" style="8" customWidth="1"/>
    <col min="3" max="3" width="3.75" customWidth="1"/>
    <col min="7" max="7" width="9" customWidth="1"/>
    <col min="9" max="9" width="9" customWidth="1"/>
    <col min="11" max="11" width="10.625" bestFit="1" customWidth="1"/>
    <col min="12" max="13" width="12.75" bestFit="1" customWidth="1"/>
    <col min="14" max="15" width="11.25" bestFit="1" customWidth="1"/>
    <col min="16" max="16" width="16.375" bestFit="1" customWidth="1"/>
  </cols>
  <sheetData>
    <row r="1" spans="1:4" ht="26.25" x14ac:dyDescent="0.3">
      <c r="A1" s="47" t="s">
        <v>260</v>
      </c>
    </row>
    <row r="2" spans="1:4" ht="15.75" customHeight="1" x14ac:dyDescent="0.3">
      <c r="A2" s="47"/>
    </row>
    <row r="3" spans="1:4" ht="15.75" customHeight="1" x14ac:dyDescent="0.3">
      <c r="A3" s="47"/>
      <c r="B3" s="8" t="s">
        <v>257</v>
      </c>
    </row>
    <row r="4" spans="1:4" ht="15.75" customHeight="1" x14ac:dyDescent="0.3">
      <c r="A4" s="47"/>
      <c r="C4" t="s">
        <v>258</v>
      </c>
    </row>
    <row r="5" spans="1:4" ht="15.75" customHeight="1" x14ac:dyDescent="0.3">
      <c r="A5" s="47"/>
      <c r="C5" t="s">
        <v>267</v>
      </c>
    </row>
    <row r="6" spans="1:4" ht="15.75" customHeight="1" x14ac:dyDescent="0.3">
      <c r="A6" s="47"/>
    </row>
    <row r="7" spans="1:4" x14ac:dyDescent="0.3">
      <c r="B7" s="8" t="s">
        <v>269</v>
      </c>
    </row>
    <row r="8" spans="1:4" x14ac:dyDescent="0.3">
      <c r="C8" t="s">
        <v>271</v>
      </c>
    </row>
    <row r="10" spans="1:4" x14ac:dyDescent="0.3">
      <c r="B10" s="8" t="s">
        <v>266</v>
      </c>
    </row>
    <row r="11" spans="1:4" x14ac:dyDescent="0.3">
      <c r="C11" t="s">
        <v>268</v>
      </c>
    </row>
    <row r="13" spans="1:4" x14ac:dyDescent="0.3">
      <c r="C13" t="s">
        <v>270</v>
      </c>
    </row>
    <row r="14" spans="1:4" x14ac:dyDescent="0.3">
      <c r="D14" t="s">
        <v>330</v>
      </c>
    </row>
    <row r="15" spans="1:4" x14ac:dyDescent="0.3">
      <c r="D15" t="s">
        <v>272</v>
      </c>
    </row>
    <row r="17" spans="2:9" x14ac:dyDescent="0.3">
      <c r="C17" s="56" t="s">
        <v>331</v>
      </c>
      <c r="D17" s="56"/>
      <c r="E17" s="56"/>
      <c r="F17" s="56"/>
      <c r="G17" s="56"/>
    </row>
    <row r="18" spans="2:9" x14ac:dyDescent="0.3">
      <c r="C18" s="8"/>
      <c r="D18" s="8"/>
      <c r="E18" s="8"/>
      <c r="F18" s="8"/>
      <c r="G18" s="8"/>
      <c r="H18" s="8"/>
      <c r="I18" s="8"/>
    </row>
    <row r="19" spans="2:9" x14ac:dyDescent="0.3">
      <c r="C19" s="8"/>
      <c r="D19" s="8"/>
      <c r="E19" s="8"/>
      <c r="F19" s="8"/>
      <c r="G19" s="8"/>
      <c r="H19" s="8"/>
      <c r="I19" s="8"/>
    </row>
    <row r="20" spans="2:9" x14ac:dyDescent="0.3">
      <c r="C20" s="8"/>
      <c r="D20" s="8"/>
      <c r="E20" s="8"/>
      <c r="F20" s="8"/>
      <c r="G20" s="8"/>
      <c r="H20" s="8"/>
      <c r="I20" s="8"/>
    </row>
    <row r="21" spans="2:9" x14ac:dyDescent="0.3">
      <c r="C21" s="8"/>
      <c r="D21" s="8"/>
      <c r="E21" s="8"/>
      <c r="F21" s="8"/>
      <c r="G21" s="8"/>
      <c r="H21" s="8"/>
      <c r="I21" s="8"/>
    </row>
    <row r="22" spans="2:9" x14ac:dyDescent="0.3">
      <c r="C22" s="18" t="s">
        <v>275</v>
      </c>
      <c r="D22" s="8"/>
      <c r="E22" s="8"/>
      <c r="F22" s="8"/>
      <c r="G22" s="8"/>
      <c r="H22" s="8"/>
    </row>
    <row r="23" spans="2:9" x14ac:dyDescent="0.3">
      <c r="C23" s="18"/>
      <c r="D23" s="18" t="s">
        <v>276</v>
      </c>
      <c r="E23" s="8"/>
      <c r="F23" s="8"/>
      <c r="G23" s="8"/>
      <c r="H23" s="8"/>
    </row>
    <row r="25" spans="2:9" x14ac:dyDescent="0.3">
      <c r="B25" s="8" t="s">
        <v>281</v>
      </c>
    </row>
    <row r="26" spans="2:9" x14ac:dyDescent="0.3">
      <c r="C26" s="14" t="s">
        <v>7</v>
      </c>
      <c r="D26" s="55" t="s">
        <v>259</v>
      </c>
      <c r="E26" s="55"/>
      <c r="F26" s="55" t="s">
        <v>273</v>
      </c>
    </row>
    <row r="27" spans="2:9" x14ac:dyDescent="0.3">
      <c r="C27" s="11">
        <f>ROW()-ROW($C$26)</f>
        <v>1</v>
      </c>
      <c r="D27" t="s">
        <v>265</v>
      </c>
      <c r="F27" t="s">
        <v>274</v>
      </c>
    </row>
    <row r="28" spans="2:9" x14ac:dyDescent="0.3">
      <c r="C28" s="11">
        <f t="shared" ref="C28:C31" si="0">ROW()-ROW($C$26)</f>
        <v>2</v>
      </c>
      <c r="D28" t="s">
        <v>262</v>
      </c>
      <c r="F28" t="s">
        <v>277</v>
      </c>
    </row>
    <row r="29" spans="2:9" x14ac:dyDescent="0.3">
      <c r="C29" s="11">
        <f t="shared" si="0"/>
        <v>3</v>
      </c>
      <c r="D29" t="s">
        <v>263</v>
      </c>
      <c r="F29" t="s">
        <v>278</v>
      </c>
    </row>
    <row r="30" spans="2:9" x14ac:dyDescent="0.3">
      <c r="C30" s="11">
        <f t="shared" si="0"/>
        <v>4</v>
      </c>
      <c r="D30" t="s">
        <v>264</v>
      </c>
      <c r="F30" t="s">
        <v>279</v>
      </c>
    </row>
    <row r="31" spans="2:9" x14ac:dyDescent="0.3">
      <c r="C31" s="11">
        <f t="shared" si="0"/>
        <v>5</v>
      </c>
      <c r="D31" t="s">
        <v>261</v>
      </c>
      <c r="F31" t="s">
        <v>280</v>
      </c>
    </row>
    <row r="33" spans="2:16" x14ac:dyDescent="0.3">
      <c r="B33" s="8" t="s">
        <v>282</v>
      </c>
    </row>
    <row r="34" spans="2:16" x14ac:dyDescent="0.3">
      <c r="C34" t="s">
        <v>283</v>
      </c>
    </row>
    <row r="35" spans="2:16" ht="17.25" thickBot="1" x14ac:dyDescent="0.35"/>
    <row r="36" spans="2:16" x14ac:dyDescent="0.3">
      <c r="D36" s="19" t="s">
        <v>309</v>
      </c>
      <c r="E36" s="60" t="s">
        <v>284</v>
      </c>
      <c r="F36" s="61"/>
      <c r="G36" s="60" t="s">
        <v>285</v>
      </c>
      <c r="H36" s="61"/>
      <c r="I36" s="59" t="s">
        <v>301</v>
      </c>
      <c r="J36" s="62"/>
      <c r="K36" s="60" t="s">
        <v>304</v>
      </c>
      <c r="L36" s="63" t="s">
        <v>287</v>
      </c>
      <c r="M36" s="64" t="s">
        <v>286</v>
      </c>
      <c r="N36" s="64" t="s">
        <v>288</v>
      </c>
      <c r="O36" s="65" t="s">
        <v>289</v>
      </c>
      <c r="P36" s="20" t="s">
        <v>290</v>
      </c>
    </row>
    <row r="37" spans="2:16" x14ac:dyDescent="0.3">
      <c r="D37" s="19" t="s">
        <v>302</v>
      </c>
      <c r="E37" s="60" t="s">
        <v>303</v>
      </c>
      <c r="F37" s="61"/>
      <c r="G37" s="60" t="s">
        <v>325</v>
      </c>
      <c r="H37" s="61"/>
      <c r="I37" s="60" t="s">
        <v>325</v>
      </c>
      <c r="J37" s="62"/>
      <c r="K37" s="60" t="s">
        <v>305</v>
      </c>
      <c r="L37" s="66" t="s">
        <v>308</v>
      </c>
      <c r="M37" s="67" t="s">
        <v>302</v>
      </c>
      <c r="N37" s="67" t="s">
        <v>303</v>
      </c>
      <c r="O37" s="68" t="s">
        <v>303</v>
      </c>
      <c r="P37" s="20"/>
    </row>
    <row r="38" spans="2:16" ht="17.25" thickBot="1" x14ac:dyDescent="0.35">
      <c r="D38" s="19" t="s">
        <v>291</v>
      </c>
      <c r="E38" s="60" t="s">
        <v>292</v>
      </c>
      <c r="F38" s="61"/>
      <c r="G38" s="86" t="s">
        <v>314</v>
      </c>
      <c r="H38" s="61"/>
      <c r="I38" s="59" t="s">
        <v>293</v>
      </c>
      <c r="J38" s="62"/>
      <c r="K38" s="60" t="s">
        <v>307</v>
      </c>
      <c r="L38" s="69" t="s">
        <v>295</v>
      </c>
      <c r="M38" s="70" t="s">
        <v>294</v>
      </c>
      <c r="N38" s="70" t="s">
        <v>296</v>
      </c>
      <c r="O38" s="71" t="s">
        <v>297</v>
      </c>
      <c r="P38" s="20" t="s">
        <v>298</v>
      </c>
    </row>
    <row r="39" spans="2:16" x14ac:dyDescent="0.3">
      <c r="D39" s="72">
        <f>ROW()-ROW($D$38)</f>
        <v>1</v>
      </c>
      <c r="E39" s="73">
        <v>3</v>
      </c>
      <c r="F39" s="74"/>
      <c r="G39" s="75" t="s">
        <v>299</v>
      </c>
      <c r="H39" s="74"/>
      <c r="I39" s="74" t="s">
        <v>326</v>
      </c>
      <c r="J39" s="74"/>
      <c r="K39" s="76"/>
      <c r="L39" s="77" t="s">
        <v>300</v>
      </c>
      <c r="M39" s="77">
        <v>5</v>
      </c>
      <c r="N39" s="77">
        <v>30</v>
      </c>
      <c r="O39" s="77">
        <v>30</v>
      </c>
      <c r="P39" s="78"/>
    </row>
    <row r="40" spans="2:16" x14ac:dyDescent="0.3">
      <c r="D40" s="72">
        <f t="shared" ref="D40:D42" si="1">ROW()-ROW($D$38)</f>
        <v>2</v>
      </c>
      <c r="E40" s="73" t="s">
        <v>306</v>
      </c>
      <c r="F40" s="74"/>
      <c r="G40" s="75" t="s">
        <v>306</v>
      </c>
      <c r="H40" s="74"/>
      <c r="I40" s="74" t="s">
        <v>327</v>
      </c>
      <c r="J40" s="74"/>
      <c r="K40" s="77"/>
      <c r="L40" s="77"/>
      <c r="M40" s="77"/>
      <c r="N40" s="77"/>
      <c r="O40" s="77"/>
      <c r="P40" s="79"/>
    </row>
    <row r="41" spans="2:16" x14ac:dyDescent="0.3">
      <c r="D41" s="72">
        <f t="shared" si="1"/>
        <v>3</v>
      </c>
      <c r="E41" s="73" t="s">
        <v>306</v>
      </c>
      <c r="F41" s="74"/>
      <c r="G41" s="75" t="s">
        <v>306</v>
      </c>
      <c r="H41" s="74"/>
      <c r="I41" s="74" t="s">
        <v>328</v>
      </c>
      <c r="J41" s="74"/>
      <c r="K41" s="77"/>
      <c r="L41" s="77"/>
      <c r="M41" s="77"/>
      <c r="N41" s="77"/>
      <c r="O41" s="77"/>
      <c r="P41" s="79"/>
    </row>
    <row r="42" spans="2:16" x14ac:dyDescent="0.3">
      <c r="D42" s="80">
        <f t="shared" si="1"/>
        <v>4</v>
      </c>
      <c r="E42" s="85" t="s">
        <v>306</v>
      </c>
      <c r="F42" s="82"/>
      <c r="G42" s="81" t="s">
        <v>306</v>
      </c>
      <c r="H42" s="82"/>
      <c r="I42" s="82" t="s">
        <v>306</v>
      </c>
      <c r="J42" s="82"/>
      <c r="K42" s="83"/>
      <c r="L42" s="83"/>
      <c r="M42" s="83"/>
      <c r="N42" s="83"/>
      <c r="O42" s="83"/>
      <c r="P42" s="84"/>
    </row>
    <row r="44" spans="2:16" x14ac:dyDescent="0.3">
      <c r="D44" t="s">
        <v>311</v>
      </c>
      <c r="G44" t="s">
        <v>310</v>
      </c>
    </row>
    <row r="45" spans="2:16" x14ac:dyDescent="0.3">
      <c r="D45" t="s">
        <v>312</v>
      </c>
      <c r="G45" t="s">
        <v>313</v>
      </c>
    </row>
    <row r="46" spans="2:16" x14ac:dyDescent="0.3">
      <c r="D46" t="s">
        <v>324</v>
      </c>
      <c r="G46" t="s">
        <v>315</v>
      </c>
    </row>
    <row r="47" spans="2:16" x14ac:dyDescent="0.3">
      <c r="D47" t="s">
        <v>316</v>
      </c>
      <c r="G47" t="s">
        <v>317</v>
      </c>
    </row>
    <row r="48" spans="2:16" x14ac:dyDescent="0.3">
      <c r="D48" t="s">
        <v>318</v>
      </c>
      <c r="G48" t="s">
        <v>319</v>
      </c>
    </row>
    <row r="49" spans="4:7" x14ac:dyDescent="0.3">
      <c r="D49" t="s">
        <v>320</v>
      </c>
      <c r="G49" t="s">
        <v>321</v>
      </c>
    </row>
    <row r="50" spans="4:7" x14ac:dyDescent="0.3">
      <c r="D50" t="s">
        <v>322</v>
      </c>
      <c r="G50" t="s">
        <v>323</v>
      </c>
    </row>
    <row r="51" spans="4:7" x14ac:dyDescent="0.3">
      <c r="D51" t="s">
        <v>329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948A-F2EB-4210-816C-FE29D536AFF8}">
  <dimension ref="A1"/>
  <sheetViews>
    <sheetView workbookViewId="0">
      <selection activeCell="H18" sqref="H18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workbookViewId="0">
      <selection activeCell="C24" sqref="C24"/>
    </sheetView>
  </sheetViews>
  <sheetFormatPr defaultRowHeight="16.5" x14ac:dyDescent="0.3"/>
  <cols>
    <col min="1" max="1" width="12.5" style="11" bestFit="1" customWidth="1"/>
    <col min="2" max="2" width="43.25" style="11" bestFit="1" customWidth="1"/>
    <col min="3" max="3" width="24.125" style="11" customWidth="1"/>
    <col min="4" max="4" width="29.875" style="11" customWidth="1"/>
    <col min="5" max="5" width="56.5" style="11" bestFit="1" customWidth="1"/>
    <col min="6" max="6" width="16.125" style="11" customWidth="1"/>
    <col min="7" max="7" width="31.25" style="11" bestFit="1" customWidth="1"/>
    <col min="8" max="8" width="63" style="11" bestFit="1" customWidth="1"/>
    <col min="9" max="9" width="23.875" style="11" customWidth="1"/>
    <col min="10" max="10" width="9" style="11"/>
    <col min="11" max="11" width="12.375" style="11" bestFit="1" customWidth="1"/>
    <col min="12" max="16384" width="9" style="11"/>
  </cols>
  <sheetData>
    <row r="1" spans="1:12" ht="31.5" x14ac:dyDescent="0.3">
      <c r="A1" s="31" t="s">
        <v>137</v>
      </c>
    </row>
    <row r="3" spans="1:12" x14ac:dyDescent="0.3">
      <c r="A3" s="32" t="s">
        <v>143</v>
      </c>
      <c r="B3" s="33"/>
      <c r="C3" s="33"/>
    </row>
    <row r="5" spans="1:12" x14ac:dyDescent="0.3">
      <c r="B5" s="51" t="s">
        <v>129</v>
      </c>
      <c r="C5" s="51"/>
      <c r="D5" s="48"/>
      <c r="E5" s="48" t="s">
        <v>126</v>
      </c>
      <c r="F5" s="50"/>
      <c r="G5" s="49"/>
      <c r="H5" s="48" t="s">
        <v>136</v>
      </c>
      <c r="I5" s="49"/>
      <c r="J5" s="48" t="s">
        <v>141</v>
      </c>
      <c r="K5" s="49"/>
    </row>
    <row r="6" spans="1:12" x14ac:dyDescent="0.3">
      <c r="B6" s="25" t="s">
        <v>128</v>
      </c>
      <c r="C6" s="26" t="s">
        <v>130</v>
      </c>
      <c r="D6" s="28" t="s">
        <v>131</v>
      </c>
      <c r="E6" s="29" t="s">
        <v>148</v>
      </c>
      <c r="F6" s="30" t="s">
        <v>132</v>
      </c>
      <c r="G6" s="24" t="s">
        <v>133</v>
      </c>
      <c r="H6" s="19" t="s">
        <v>139</v>
      </c>
      <c r="I6" s="20" t="s">
        <v>140</v>
      </c>
      <c r="J6" s="25" t="s">
        <v>147</v>
      </c>
      <c r="K6" s="24" t="s">
        <v>175</v>
      </c>
    </row>
    <row r="7" spans="1:12" x14ac:dyDescent="0.3">
      <c r="A7" s="19" t="s">
        <v>127</v>
      </c>
      <c r="B7" s="11" t="s">
        <v>134</v>
      </c>
      <c r="C7" s="11" t="s">
        <v>142</v>
      </c>
      <c r="D7" s="11" t="s">
        <v>144</v>
      </c>
      <c r="E7" s="11" t="s">
        <v>171</v>
      </c>
      <c r="F7" s="11" t="s">
        <v>135</v>
      </c>
      <c r="G7" s="11" t="s">
        <v>138</v>
      </c>
      <c r="H7" s="11" t="s">
        <v>198</v>
      </c>
      <c r="I7" s="11" t="s">
        <v>145</v>
      </c>
      <c r="J7" s="11" t="s">
        <v>181</v>
      </c>
      <c r="K7" s="11" t="s">
        <v>181</v>
      </c>
    </row>
    <row r="9" spans="1:12" x14ac:dyDescent="0.3">
      <c r="B9" s="48" t="s">
        <v>151</v>
      </c>
      <c r="C9" s="49"/>
      <c r="D9" s="48" t="s">
        <v>153</v>
      </c>
      <c r="E9" s="50"/>
      <c r="F9" s="49"/>
      <c r="G9" s="48" t="s">
        <v>136</v>
      </c>
      <c r="H9" s="49"/>
      <c r="I9" s="48" t="s">
        <v>141</v>
      </c>
      <c r="J9" s="49"/>
      <c r="K9" s="48" t="s">
        <v>178</v>
      </c>
      <c r="L9" s="49"/>
    </row>
    <row r="10" spans="1:12" x14ac:dyDescent="0.3">
      <c r="B10" s="25" t="s">
        <v>152</v>
      </c>
      <c r="C10" s="26" t="s">
        <v>150</v>
      </c>
      <c r="D10" s="29" t="s">
        <v>167</v>
      </c>
      <c r="E10" s="30" t="s">
        <v>169</v>
      </c>
      <c r="F10" s="24" t="s">
        <v>133</v>
      </c>
      <c r="G10" s="19" t="s">
        <v>139</v>
      </c>
      <c r="H10" s="20" t="s">
        <v>173</v>
      </c>
      <c r="I10" s="25" t="s">
        <v>176</v>
      </c>
      <c r="J10" s="24" t="s">
        <v>175</v>
      </c>
      <c r="K10" s="19" t="s">
        <v>179</v>
      </c>
      <c r="L10" s="19" t="s">
        <v>180</v>
      </c>
    </row>
    <row r="11" spans="1:12" x14ac:dyDescent="0.3">
      <c r="A11" s="19" t="s">
        <v>149</v>
      </c>
      <c r="B11" s="13" t="s">
        <v>229</v>
      </c>
      <c r="C11" s="11" t="s">
        <v>154</v>
      </c>
      <c r="D11" s="11" t="s">
        <v>168</v>
      </c>
      <c r="E11" s="11" t="s">
        <v>170</v>
      </c>
      <c r="F11" s="11" t="s">
        <v>172</v>
      </c>
      <c r="G11" s="11" t="s">
        <v>199</v>
      </c>
      <c r="H11" s="11" t="s">
        <v>174</v>
      </c>
      <c r="I11" s="11" t="s">
        <v>177</v>
      </c>
      <c r="J11" s="11" t="s">
        <v>181</v>
      </c>
      <c r="K11" s="11" t="s">
        <v>181</v>
      </c>
      <c r="L11" s="11" t="s">
        <v>181</v>
      </c>
    </row>
    <row r="14" spans="1:12" x14ac:dyDescent="0.3">
      <c r="A14" s="52" t="s">
        <v>155</v>
      </c>
      <c r="D14" s="27" t="s">
        <v>156</v>
      </c>
      <c r="E14" s="19" t="s">
        <v>160</v>
      </c>
      <c r="F14" s="51" t="s">
        <v>165</v>
      </c>
      <c r="G14" s="51"/>
      <c r="H14" s="51"/>
    </row>
    <row r="15" spans="1:12" x14ac:dyDescent="0.3">
      <c r="A15" s="53"/>
      <c r="D15" s="34" t="s">
        <v>157</v>
      </c>
      <c r="E15" s="13" t="s">
        <v>162</v>
      </c>
      <c r="F15" s="13" t="s">
        <v>166</v>
      </c>
    </row>
    <row r="16" spans="1:12" x14ac:dyDescent="0.3">
      <c r="A16" s="53"/>
      <c r="D16" s="35" t="s">
        <v>158</v>
      </c>
      <c r="E16" s="13" t="s">
        <v>161</v>
      </c>
    </row>
    <row r="17" spans="1:6" x14ac:dyDescent="0.3">
      <c r="A17" s="53"/>
      <c r="D17" s="23" t="s">
        <v>159</v>
      </c>
      <c r="E17" s="18" t="s">
        <v>164</v>
      </c>
      <c r="F17" s="13" t="s">
        <v>182</v>
      </c>
    </row>
    <row r="18" spans="1:6" x14ac:dyDescent="0.3">
      <c r="A18" s="53"/>
      <c r="D18" s="13" t="s">
        <v>163</v>
      </c>
    </row>
    <row r="19" spans="1:6" x14ac:dyDescent="0.3">
      <c r="A19" s="53"/>
    </row>
    <row r="20" spans="1:6" x14ac:dyDescent="0.3">
      <c r="A20" s="53"/>
      <c r="E20" s="36" t="s">
        <v>195</v>
      </c>
    </row>
    <row r="21" spans="1:6" x14ac:dyDescent="0.3">
      <c r="A21" s="53"/>
      <c r="E21" s="13" t="s">
        <v>196</v>
      </c>
    </row>
    <row r="22" spans="1:6" x14ac:dyDescent="0.3">
      <c r="A22" s="53"/>
      <c r="E22" t="s">
        <v>197</v>
      </c>
    </row>
    <row r="23" spans="1:6" x14ac:dyDescent="0.3">
      <c r="A23" s="53"/>
    </row>
    <row r="24" spans="1:6" x14ac:dyDescent="0.3">
      <c r="A24" s="53"/>
    </row>
    <row r="25" spans="1:6" x14ac:dyDescent="0.3">
      <c r="A25" s="53"/>
      <c r="E25" s="11" t="s">
        <v>205</v>
      </c>
    </row>
    <row r="26" spans="1:6" x14ac:dyDescent="0.3">
      <c r="A26" s="53"/>
    </row>
    <row r="27" spans="1:6" x14ac:dyDescent="0.3">
      <c r="A27" s="53"/>
      <c r="E27" s="13" t="s">
        <v>225</v>
      </c>
    </row>
    <row r="28" spans="1:6" x14ac:dyDescent="0.3">
      <c r="A28" s="53"/>
      <c r="E28" s="13" t="s">
        <v>226</v>
      </c>
    </row>
    <row r="29" spans="1:6" x14ac:dyDescent="0.3">
      <c r="A29" s="53"/>
      <c r="E29" s="11" t="s">
        <v>227</v>
      </c>
    </row>
    <row r="30" spans="1:6" x14ac:dyDescent="0.3">
      <c r="A30" s="53"/>
      <c r="E30" s="13" t="s">
        <v>228</v>
      </c>
    </row>
    <row r="31" spans="1:6" x14ac:dyDescent="0.3">
      <c r="A31" s="54"/>
    </row>
    <row r="33" spans="1:7" x14ac:dyDescent="0.3">
      <c r="B33" s="27" t="s">
        <v>151</v>
      </c>
      <c r="C33" s="27" t="s">
        <v>153</v>
      </c>
      <c r="D33" s="48" t="s">
        <v>189</v>
      </c>
      <c r="E33" s="49"/>
      <c r="F33" s="48" t="s">
        <v>178</v>
      </c>
      <c r="G33" s="49"/>
    </row>
    <row r="34" spans="1:7" x14ac:dyDescent="0.3">
      <c r="B34" s="26" t="s">
        <v>150</v>
      </c>
      <c r="C34" s="29" t="s">
        <v>185</v>
      </c>
      <c r="D34" s="19" t="s">
        <v>187</v>
      </c>
      <c r="E34" s="20" t="s">
        <v>190</v>
      </c>
      <c r="F34" s="19" t="s">
        <v>192</v>
      </c>
      <c r="G34" s="19" t="s">
        <v>194</v>
      </c>
    </row>
    <row r="35" spans="1:7" x14ac:dyDescent="0.3">
      <c r="A35" s="19" t="s">
        <v>183</v>
      </c>
      <c r="B35" s="11" t="s">
        <v>184</v>
      </c>
      <c r="C35" s="11" t="s">
        <v>186</v>
      </c>
      <c r="D35" s="11" t="s">
        <v>188</v>
      </c>
      <c r="E35" s="11" t="s">
        <v>191</v>
      </c>
      <c r="F35" s="11" t="s">
        <v>193</v>
      </c>
      <c r="G35" s="11" t="s">
        <v>73</v>
      </c>
    </row>
    <row r="38" spans="1:7" x14ac:dyDescent="0.3">
      <c r="B38" s="19" t="s">
        <v>213</v>
      </c>
      <c r="C38" s="19" t="s">
        <v>217</v>
      </c>
      <c r="D38" s="19" t="s">
        <v>214</v>
      </c>
      <c r="E38" s="19" t="s">
        <v>221</v>
      </c>
    </row>
    <row r="39" spans="1:7" x14ac:dyDescent="0.3">
      <c r="A39" s="19" t="s">
        <v>206</v>
      </c>
      <c r="B39" s="11" t="s">
        <v>218</v>
      </c>
      <c r="C39" s="11" t="s">
        <v>220</v>
      </c>
      <c r="D39" s="11" t="s">
        <v>219</v>
      </c>
      <c r="E39" s="13" t="s">
        <v>222</v>
      </c>
    </row>
    <row r="40" spans="1:7" ht="33" x14ac:dyDescent="0.3">
      <c r="E40" s="38" t="s">
        <v>223</v>
      </c>
    </row>
    <row r="41" spans="1:7" x14ac:dyDescent="0.3">
      <c r="B41" s="13"/>
      <c r="C41" s="13"/>
      <c r="D41" s="13"/>
      <c r="E41" s="13"/>
    </row>
    <row r="42" spans="1:7" x14ac:dyDescent="0.3">
      <c r="B42" s="13"/>
      <c r="C42" s="13"/>
      <c r="D42" s="13"/>
      <c r="E42" s="13"/>
    </row>
    <row r="43" spans="1:7" x14ac:dyDescent="0.3">
      <c r="B43" s="13"/>
      <c r="C43" s="13"/>
      <c r="D43" s="13"/>
      <c r="E43" s="13"/>
    </row>
    <row r="44" spans="1:7" x14ac:dyDescent="0.3">
      <c r="B44" s="13"/>
      <c r="C44" s="13"/>
      <c r="D44" s="13"/>
      <c r="E44" s="13"/>
    </row>
    <row r="45" spans="1:7" x14ac:dyDescent="0.3">
      <c r="B45" s="13"/>
      <c r="C45" s="13"/>
      <c r="D45" s="13"/>
      <c r="E45" s="13"/>
    </row>
    <row r="46" spans="1:7" x14ac:dyDescent="0.3">
      <c r="B46" s="13"/>
      <c r="C46" s="13"/>
      <c r="D46" s="13"/>
      <c r="E46" s="13"/>
    </row>
  </sheetData>
  <mergeCells count="13">
    <mergeCell ref="D33:E33"/>
    <mergeCell ref="F33:G33"/>
    <mergeCell ref="A14:A31"/>
    <mergeCell ref="F14:H14"/>
    <mergeCell ref="B9:C9"/>
    <mergeCell ref="I9:J9"/>
    <mergeCell ref="G9:H9"/>
    <mergeCell ref="K9:L9"/>
    <mergeCell ref="D9:F9"/>
    <mergeCell ref="B5:D5"/>
    <mergeCell ref="E5:G5"/>
    <mergeCell ref="J5:K5"/>
    <mergeCell ref="H5:I5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0"/>
  <sheetViews>
    <sheetView workbookViewId="0">
      <selection activeCell="F26" sqref="F26"/>
    </sheetView>
  </sheetViews>
  <sheetFormatPr defaultRowHeight="16.5" x14ac:dyDescent="0.3"/>
  <cols>
    <col min="1" max="1" width="4.625" customWidth="1"/>
    <col min="2" max="2" width="8.5" customWidth="1"/>
    <col min="3" max="3" width="5.125" customWidth="1"/>
  </cols>
  <sheetData>
    <row r="1" spans="1:25" ht="26.25" x14ac:dyDescent="0.3">
      <c r="A1" s="39" t="s">
        <v>200</v>
      </c>
    </row>
    <row r="3" spans="1:25" x14ac:dyDescent="0.3">
      <c r="B3" t="s">
        <v>201</v>
      </c>
      <c r="N3" s="40" t="s">
        <v>245</v>
      </c>
      <c r="O3" s="40"/>
      <c r="P3" s="40"/>
      <c r="Q3" s="40"/>
      <c r="R3" s="40"/>
      <c r="S3" s="40"/>
      <c r="T3" s="40"/>
      <c r="U3" s="40"/>
      <c r="V3" s="40"/>
      <c r="W3" s="40"/>
    </row>
    <row r="4" spans="1:25" x14ac:dyDescent="0.3">
      <c r="B4" t="s">
        <v>202</v>
      </c>
      <c r="C4" t="s">
        <v>233</v>
      </c>
      <c r="N4" s="41" t="s">
        <v>246</v>
      </c>
      <c r="O4" s="40"/>
      <c r="P4" s="40"/>
      <c r="Q4" s="40"/>
      <c r="R4" s="40"/>
      <c r="S4" s="40"/>
      <c r="T4" s="40"/>
      <c r="U4" s="40"/>
      <c r="V4" s="40"/>
      <c r="W4" s="40"/>
    </row>
    <row r="5" spans="1:25" x14ac:dyDescent="0.3">
      <c r="B5" t="s">
        <v>203</v>
      </c>
      <c r="C5" t="s">
        <v>235</v>
      </c>
    </row>
    <row r="6" spans="1:25" ht="21.75" x14ac:dyDescent="0.3">
      <c r="B6" t="s">
        <v>204</v>
      </c>
      <c r="C6" t="s">
        <v>250</v>
      </c>
      <c r="N6" s="42" t="s">
        <v>237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 x14ac:dyDescent="0.3"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 x14ac:dyDescent="0.3">
      <c r="B8">
        <v>1</v>
      </c>
      <c r="C8" t="s">
        <v>241</v>
      </c>
      <c r="N8" s="43" t="s">
        <v>238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 x14ac:dyDescent="0.3">
      <c r="C9" t="s">
        <v>234</v>
      </c>
      <c r="N9" s="44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 x14ac:dyDescent="0.3">
      <c r="N10" s="45" t="s">
        <v>248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 x14ac:dyDescent="0.3">
      <c r="B11">
        <v>2</v>
      </c>
      <c r="C11" t="s">
        <v>239</v>
      </c>
      <c r="N11" s="45" t="s">
        <v>249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 x14ac:dyDescent="0.3">
      <c r="C12" t="s">
        <v>236</v>
      </c>
    </row>
    <row r="14" spans="1:25" x14ac:dyDescent="0.3">
      <c r="B14">
        <v>3</v>
      </c>
      <c r="C14" t="s">
        <v>242</v>
      </c>
    </row>
    <row r="15" spans="1:25" x14ac:dyDescent="0.3">
      <c r="C15" t="s">
        <v>243</v>
      </c>
    </row>
    <row r="16" spans="1:25" x14ac:dyDescent="0.3">
      <c r="C16" t="s">
        <v>244</v>
      </c>
    </row>
    <row r="18" spans="2:3" x14ac:dyDescent="0.3">
      <c r="B18">
        <v>4</v>
      </c>
      <c r="C18" t="s">
        <v>240</v>
      </c>
    </row>
    <row r="20" spans="2:3" x14ac:dyDescent="0.3">
      <c r="B20" t="s">
        <v>247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workbookViewId="0">
      <selection activeCell="F9" sqref="F9"/>
    </sheetView>
  </sheetViews>
  <sheetFormatPr defaultRowHeight="16.5" x14ac:dyDescent="0.3"/>
  <cols>
    <col min="1" max="1" width="3.75" customWidth="1"/>
    <col min="2" max="2" width="5.375" style="11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 x14ac:dyDescent="0.3">
      <c r="B2" s="14" t="s">
        <v>7</v>
      </c>
      <c r="C2" s="16" t="s">
        <v>125</v>
      </c>
      <c r="D2" s="16"/>
      <c r="H2" s="16" t="s">
        <v>88</v>
      </c>
    </row>
    <row r="3" spans="2:19" x14ac:dyDescent="0.3">
      <c r="B3" s="22">
        <v>1</v>
      </c>
      <c r="C3" t="s">
        <v>82</v>
      </c>
      <c r="E3" t="s">
        <v>83</v>
      </c>
      <c r="F3" t="s">
        <v>85</v>
      </c>
      <c r="H3" t="s">
        <v>90</v>
      </c>
    </row>
    <row r="4" spans="2:19" x14ac:dyDescent="0.3">
      <c r="E4" t="s">
        <v>84</v>
      </c>
      <c r="F4" t="s">
        <v>86</v>
      </c>
    </row>
    <row r="5" spans="2:19" x14ac:dyDescent="0.3">
      <c r="E5" t="s">
        <v>71</v>
      </c>
    </row>
    <row r="6" spans="2:19" x14ac:dyDescent="0.3">
      <c r="E6" t="s">
        <v>212</v>
      </c>
    </row>
    <row r="8" spans="2:19" x14ac:dyDescent="0.3">
      <c r="B8" s="11">
        <v>2</v>
      </c>
      <c r="C8" t="s">
        <v>87</v>
      </c>
      <c r="E8" s="37" t="s">
        <v>207</v>
      </c>
      <c r="H8" t="s">
        <v>89</v>
      </c>
    </row>
    <row r="10" spans="2:19" x14ac:dyDescent="0.3">
      <c r="B10" s="11">
        <v>3</v>
      </c>
      <c r="C10" t="s">
        <v>91</v>
      </c>
      <c r="F10" s="37" t="s">
        <v>208</v>
      </c>
      <c r="H10" t="s">
        <v>146</v>
      </c>
    </row>
    <row r="12" spans="2:19" x14ac:dyDescent="0.3">
      <c r="B12" s="11">
        <v>4</v>
      </c>
      <c r="C12" t="s">
        <v>92</v>
      </c>
      <c r="E12" t="s">
        <v>93</v>
      </c>
      <c r="H12" t="s">
        <v>95</v>
      </c>
      <c r="J12" t="s">
        <v>112</v>
      </c>
    </row>
    <row r="13" spans="2:19" x14ac:dyDescent="0.3">
      <c r="C13" t="s">
        <v>94</v>
      </c>
      <c r="E13" s="37" t="s">
        <v>209</v>
      </c>
      <c r="J13" t="s">
        <v>113</v>
      </c>
    </row>
    <row r="15" spans="2:19" x14ac:dyDescent="0.3">
      <c r="B15" s="22">
        <v>5</v>
      </c>
      <c r="C15" t="s">
        <v>96</v>
      </c>
      <c r="H15" t="s">
        <v>111</v>
      </c>
      <c r="S15" t="s">
        <v>121</v>
      </c>
    </row>
    <row r="16" spans="2:19" x14ac:dyDescent="0.3">
      <c r="B16"/>
    </row>
    <row r="17" spans="2:19" x14ac:dyDescent="0.3">
      <c r="B17">
        <v>5.25</v>
      </c>
      <c r="C17" t="s">
        <v>119</v>
      </c>
      <c r="H17" t="s">
        <v>120</v>
      </c>
      <c r="S17" t="s">
        <v>122</v>
      </c>
    </row>
    <row r="18" spans="2:19" x14ac:dyDescent="0.3">
      <c r="S18" t="s">
        <v>123</v>
      </c>
    </row>
    <row r="19" spans="2:19" x14ac:dyDescent="0.3">
      <c r="B19" s="11">
        <v>5.5</v>
      </c>
      <c r="C19" t="s">
        <v>114</v>
      </c>
      <c r="E19" t="s">
        <v>115</v>
      </c>
      <c r="H19" t="s">
        <v>90</v>
      </c>
    </row>
    <row r="20" spans="2:19" x14ac:dyDescent="0.3">
      <c r="E20" t="s">
        <v>116</v>
      </c>
      <c r="S20" t="s">
        <v>124</v>
      </c>
    </row>
    <row r="22" spans="2:19" x14ac:dyDescent="0.3">
      <c r="D22" t="s">
        <v>117</v>
      </c>
    </row>
    <row r="24" spans="2:19" x14ac:dyDescent="0.3">
      <c r="D24" t="s">
        <v>118</v>
      </c>
    </row>
    <row r="26" spans="2:19" x14ac:dyDescent="0.3">
      <c r="B26" s="11">
        <v>6</v>
      </c>
      <c r="C26" t="s">
        <v>97</v>
      </c>
    </row>
    <row r="27" spans="2:19" x14ac:dyDescent="0.3">
      <c r="C27" t="s">
        <v>98</v>
      </c>
      <c r="D27" t="s">
        <v>99</v>
      </c>
      <c r="E27" t="s">
        <v>100</v>
      </c>
    </row>
    <row r="29" spans="2:19" x14ac:dyDescent="0.3">
      <c r="C29" t="s">
        <v>101</v>
      </c>
      <c r="D29" t="s">
        <v>102</v>
      </c>
    </row>
    <row r="30" spans="2:19" x14ac:dyDescent="0.3">
      <c r="D30" t="s">
        <v>104</v>
      </c>
    </row>
    <row r="32" spans="2:19" x14ac:dyDescent="0.3">
      <c r="C32" t="s">
        <v>103</v>
      </c>
      <c r="D32" t="s">
        <v>105</v>
      </c>
    </row>
    <row r="34" spans="2:4" x14ac:dyDescent="0.3">
      <c r="C34" t="s">
        <v>106</v>
      </c>
      <c r="D34" t="s">
        <v>107</v>
      </c>
    </row>
    <row r="36" spans="2:4" x14ac:dyDescent="0.3">
      <c r="C36" t="s">
        <v>108</v>
      </c>
      <c r="D36" t="s">
        <v>109</v>
      </c>
    </row>
    <row r="37" spans="2:4" x14ac:dyDescent="0.3">
      <c r="D37" t="s">
        <v>110</v>
      </c>
    </row>
    <row r="39" spans="2:4" x14ac:dyDescent="0.3">
      <c r="B39" s="11">
        <v>7</v>
      </c>
      <c r="C39" t="s">
        <v>200</v>
      </c>
    </row>
    <row r="41" spans="2:4" x14ac:dyDescent="0.3">
      <c r="B41" s="33">
        <v>8</v>
      </c>
      <c r="C41" t="s">
        <v>224</v>
      </c>
      <c r="D41" t="s">
        <v>70</v>
      </c>
    </row>
    <row r="43" spans="2:4" x14ac:dyDescent="0.3">
      <c r="B43" s="11">
        <v>9</v>
      </c>
      <c r="C43" t="s">
        <v>230</v>
      </c>
    </row>
    <row r="45" spans="2:4" x14ac:dyDescent="0.3">
      <c r="B45" s="46">
        <v>10</v>
      </c>
      <c r="C45" t="s">
        <v>254</v>
      </c>
    </row>
    <row r="47" spans="2:4" x14ac:dyDescent="0.3">
      <c r="C47" t="s">
        <v>255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깃포크 공부</vt:lpstr>
      <vt:lpstr>player</vt:lpstr>
      <vt:lpstr>enemy</vt:lpstr>
      <vt:lpstr>Formation</vt:lpstr>
      <vt:lpstr>Move_Pattern</vt:lpstr>
      <vt:lpstr>생애주기</vt:lpstr>
      <vt:lpstr>카메라 </vt:lpstr>
      <vt:lpstr>개발요청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2026-05-26T12:37:50Z</dcterms:modified>
</cp:coreProperties>
</file>